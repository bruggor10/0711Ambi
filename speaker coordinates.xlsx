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annes"/>
  <workbookPr/>
  <bookViews>
    <workbookView activeTab="0" xWindow="240" yWindow="60" windowWidth="0" windowHeight="0" tabRatio="500"/>
  </bookViews>
  <sheets>
    <sheet name="Tabelle1" sheetId="1" r:id="rId4"/>
  </sheets>
  <calcPr/>
  <extLst>
    <ext uri="smNativeData">
      <pm:revision xmlns:pm="smNativeData" day="1754766034" val="1224" rev="124" rev64="64" revOS="3" revMin="124" revMax="0"/>
      <pm:docPrefs xmlns:pm="smNativeData" id="1754766034" fixedDigits="0" showNotice="1" showProtection="1" showFrameBounds="1" autoChart="1" recalcOnPrint="1" recalcOnCopy="1" tab="567" useDefinedPrintRange="1" printArea="currentSheet"/>
      <pm:compatibility xmlns:pm="smNativeData" id="1754766034"/>
      <pm:defCurrency xmlns:pm="smNativeData" id="1754766034"/>
      <pm:sortOptions xmlns:pm="smNativeData" id="1754766034">
        <pm:column colId="2"/>
        <pm:column colId="3"/>
      </pm:sortOption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<sst xmlns="http://schemas.openxmlformats.org/spreadsheetml/2006/main" count="5" uniqueCount="5">
  <si>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</si>
  <si>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</si>
  <si>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z</t>
  </si>
  <si>
    <t>azimuth</t>
  </si>
  <si>
    <t>elevation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</si>
</sst>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1">
    <font>
      <name val="Basic Sans"/>
      <family val="1"/>
      <color rgb="FF000000"/>
      <sz val="10"/>
      <extLst>
        <ext uri="smNativeData">
          <pm:charSpec xmlns:pm="smNativeData" id="175476603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5476603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476603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476603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5476603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21"/>
  <sheetViews>
    <sheetView tabSelected="1" view="normal" zoomScale="90" workbookViewId="0">
      <selection activeCell="A1" sqref="A1:E21"/>
    </sheetView>
  </sheetViews>
  <sheetFormatPr baseColWidth="10" defaultColWidth="11.540541" defaultRowHeight="13.45"/>
  <cols>
    <col min="1" max="3" width="11.540541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n">
        <v>-1</v>
      </c>
      <c r="B2" t="n">
        <v>-0.324920000000000009</v>
      </c>
      <c r="C2" t="n">
        <v>-1.37638199999999999</v>
      </c>
      <c r="D2">
        <f>ATAN2(B2,A2)/PI()*180</f>
        <v>-108.000015742582377</v>
      </c>
      <c r="E2">
        <f>ASIN(C2/(SQRT(A2*A2+B2*B2+C2*C2)))/PI()*180</f>
        <v>-52.6226309888678969</v>
      </c>
    </row>
    <row r="3" spans="1:5">
      <c r="A3" t="n">
        <v>-0.618033999999999928</v>
      </c>
      <c r="B3" t="n">
        <v>0.850651000000000046</v>
      </c>
      <c r="C3" t="n">
        <v>-1.37638199999999999</v>
      </c>
      <c r="D3">
        <f>ATAN2(B3,A3)/PI()*180</f>
        <v>-35.9999943576040806</v>
      </c>
      <c r="E3">
        <f>ASIN(C3/(SQRT(A3*A3+B3*B3+C3*C3)))/PI()*180</f>
        <v>-52.6226292068783437</v>
      </c>
    </row>
    <row r="4" spans="1:5">
      <c r="A4" t="n">
        <v>0.618033999999999928</v>
      </c>
      <c r="B4" t="n">
        <v>0.850651000000000046</v>
      </c>
      <c r="C4" t="n">
        <v>-1.37638199999999999</v>
      </c>
      <c r="D4">
        <f>ATAN2(B4,A4)/PI()*180</f>
        <v>35.9999943576040806</v>
      </c>
      <c r="E4">
        <f>ASIN(C4/(SQRT(A4*A4+B4*B4+C4*C4)))/PI()*180</f>
        <v>-52.6226292068783437</v>
      </c>
    </row>
    <row r="5" spans="1:5">
      <c r="A5" t="n">
        <v>1</v>
      </c>
      <c r="B5" t="n">
        <v>-0.324920000000000009</v>
      </c>
      <c r="C5" t="n">
        <v>-1.37638199999999999</v>
      </c>
      <c r="D5">
        <f>ATAN2(B5,A5)/PI()*180</f>
        <v>108.000015742582377</v>
      </c>
      <c r="E5">
        <f>ASIN(C5/(SQRT(A5*A5+B5*B5+C5*C5)))/PI()*180</f>
        <v>-52.6226309888678969</v>
      </c>
    </row>
    <row r="6" spans="1:5">
      <c r="A6" t="n">
        <v>0</v>
      </c>
      <c r="B6" t="n">
        <v>-1.0514619999999999</v>
      </c>
      <c r="C6" t="n">
        <v>-1.37638199999999999</v>
      </c>
      <c r="D6">
        <f>ATAN2(B6,A6)/PI()*180</f>
        <v>180</v>
      </c>
      <c r="E6">
        <f>ASIN(C6/(SQRT(A6*A6+B6*B6+C6*C6)))/PI()*180</f>
        <v>-52.6226393509466419</v>
      </c>
    </row>
    <row r="7" spans="1:5">
      <c r="A7" t="n">
        <v>-1.61803399999999993</v>
      </c>
      <c r="B7" t="n">
        <v>-0.525730999999999948</v>
      </c>
      <c r="C7" t="n">
        <v>-0.324920000000000009</v>
      </c>
      <c r="D7">
        <f>ATAN2(B7,A7)/PI()*180</f>
        <v>-107.999996291821617</v>
      </c>
      <c r="E7">
        <f>ASIN(C7/(SQRT(A7*A7+B7*B7+C7*C7)))/PI()*180</f>
        <v>-10.8123269823187194</v>
      </c>
    </row>
    <row r="8" spans="1:5">
      <c r="A8" t="n">
        <v>-1</v>
      </c>
      <c r="B8" t="n">
        <v>1.37638199999999999</v>
      </c>
      <c r="C8" t="n">
        <v>-0.324920000000000009</v>
      </c>
      <c r="D8">
        <f>ATAN2(B8,A8)/PI()*180</f>
        <v>-35.9999984257106362</v>
      </c>
      <c r="E8">
        <f>ASIN(C8/(SQRT(A8*A8+B8*B8+C8*C8)))/PI()*180</f>
        <v>-10.8123264344500196</v>
      </c>
    </row>
    <row r="9" spans="1:5">
      <c r="A9" t="n">
        <v>1</v>
      </c>
      <c r="B9" t="n">
        <v>1.37638199999999999</v>
      </c>
      <c r="C9" t="n">
        <v>-0.324920000000000009</v>
      </c>
      <c r="D9">
        <f>ATAN2(B9,A9)/PI()*180</f>
        <v>35.9999984257106362</v>
      </c>
      <c r="E9">
        <f>ASIN(C9/(SQRT(A9*A9+B9*B9+C9*C9)))/PI()*180</f>
        <v>-10.8123264344500196</v>
      </c>
    </row>
    <row r="10" spans="1:5">
      <c r="A10" t="n">
        <v>1.61803399999999993</v>
      </c>
      <c r="B10" t="n">
        <v>-0.525730999999999948</v>
      </c>
      <c r="C10" t="n">
        <v>-0.324920000000000009</v>
      </c>
      <c r="D10">
        <f>ATAN2(B10,A10)/PI()*180</f>
        <v>107.999996291821617</v>
      </c>
      <c r="E10">
        <f>ASIN(C10/(SQRT(A10*A10+B10*B10+C10*C10)))/PI()*180</f>
        <v>-10.8123269823187194</v>
      </c>
    </row>
    <row r="11" spans="1:5">
      <c r="A11" t="n">
        <v>0</v>
      </c>
      <c r="B11" t="n">
        <v>-1.70130200000000009</v>
      </c>
      <c r="C11" t="n">
        <v>-0.324920000000000009</v>
      </c>
      <c r="D11">
        <f>ATAN2(B11,A11)/PI()*180</f>
        <v>180</v>
      </c>
      <c r="E11">
        <f>ASIN(C11/(SQRT(A11*A11+B11*B11+C11*C11)))/PI()*180</f>
        <v>-10.8123244551658804</v>
      </c>
    </row>
    <row r="12" spans="1:5">
      <c r="A12" t="n">
        <v>-1</v>
      </c>
      <c r="B12" t="n">
        <v>-1.37638199999999999</v>
      </c>
      <c r="C12" t="n">
        <v>0.324920000000000009</v>
      </c>
      <c r="D12">
        <f>ATAN2(B12,A12)/PI()*180</f>
        <v>-144.00000157428974</v>
      </c>
      <c r="E12">
        <f>ASIN(C12/(SQRT(A12*A12+B12*B12+C12*C12)))/PI()*180</f>
        <v>10.8123264344500196</v>
      </c>
    </row>
    <row r="13" spans="1:5">
      <c r="A13" t="n">
        <v>-1.61803399999999993</v>
      </c>
      <c r="B13" t="n">
        <v>0.525730999999999948</v>
      </c>
      <c r="C13" t="n">
        <v>0.324920000000000009</v>
      </c>
      <c r="D13">
        <f>ATAN2(B13,A13)/PI()*180</f>
        <v>-72.0000037081785536</v>
      </c>
      <c r="E13">
        <f>ASIN(C13/(SQRT(A13*A13+B13*B13+C13*C13)))/PI()*180</f>
        <v>10.8123269823187194</v>
      </c>
    </row>
    <row r="14" spans="1:5">
      <c r="A14" t="n">
        <v>0</v>
      </c>
      <c r="B14" t="n">
        <v>1.70130200000000009</v>
      </c>
      <c r="C14" t="n">
        <v>0.324920000000000009</v>
      </c>
      <c r="D14">
        <f>ATAN2(B14,A14)/PI()*180</f>
        <v>0</v>
      </c>
      <c r="E14">
        <f>ASIN(C14/(SQRT(A14*A14+B14*B14+C14*C14)))/PI()*180</f>
        <v>10.8123244551658804</v>
      </c>
    </row>
    <row r="15" spans="1:5">
      <c r="A15" t="n">
        <v>1.61803399999999993</v>
      </c>
      <c r="B15" t="n">
        <v>0.525730999999999948</v>
      </c>
      <c r="C15" t="n">
        <v>0.324920000000000009</v>
      </c>
      <c r="D15">
        <f>ATAN2(B15,A15)/PI()*180</f>
        <v>72.0000037081785536</v>
      </c>
      <c r="E15">
        <f>ASIN(C15/(SQRT(A15*A15+B15*B15+C15*C15)))/PI()*180</f>
        <v>10.8123269823187194</v>
      </c>
    </row>
    <row r="16" spans="1:5">
      <c r="A16" t="n">
        <v>1</v>
      </c>
      <c r="B16" t="n">
        <v>-1.37638199999999999</v>
      </c>
      <c r="C16" t="n">
        <v>0.324920000000000009</v>
      </c>
      <c r="D16">
        <f>ATAN2(B16,A16)/PI()*180</f>
        <v>144.00000157428974</v>
      </c>
      <c r="E16">
        <f>ASIN(C16/(SQRT(A16*A16+B16*B16+C16*C16)))/PI()*180</f>
        <v>10.8123264344500196</v>
      </c>
    </row>
    <row r="17" spans="1:5">
      <c r="A17" t="n">
        <v>-0.618033999999999928</v>
      </c>
      <c r="B17" t="n">
        <v>-0.850651000000000046</v>
      </c>
      <c r="C17" t="n">
        <v>1.37638199999999999</v>
      </c>
      <c r="D17">
        <f>ATAN2(B17,A17)/PI()*180</f>
        <v>-144.000005642396104</v>
      </c>
      <c r="E17">
        <f>ASIN(C17/(SQRT(A17*A17+B17*B17+C17*C17)))/PI()*180</f>
        <v>52.6226292068783437</v>
      </c>
    </row>
    <row r="18" spans="1:5">
      <c r="A18" t="n">
        <v>-1</v>
      </c>
      <c r="B18" t="n">
        <v>0.324920000000000009</v>
      </c>
      <c r="C18" t="n">
        <v>1.37638199999999999</v>
      </c>
      <c r="D18">
        <f>ATAN2(B18,A18)/PI()*180</f>
        <v>-71.9999842574176228</v>
      </c>
      <c r="E18">
        <f>ASIN(C18/(SQRT(A18*A18+B18*B18+C18*C18)))/PI()*180</f>
        <v>52.6226309888678969</v>
      </c>
    </row>
    <row r="19" spans="1:5">
      <c r="A19" t="n">
        <v>0</v>
      </c>
      <c r="B19" t="n">
        <v>1.0514619999999999</v>
      </c>
      <c r="C19" t="n">
        <v>1.37638199999999999</v>
      </c>
      <c r="D19">
        <f>ATAN2(B19,A19)/PI()*180</f>
        <v>0</v>
      </c>
      <c r="E19">
        <f>ASIN(C19/(SQRT(A19*A19+B19*B19+C19*C19)))/PI()*180</f>
        <v>52.6226393509466419</v>
      </c>
    </row>
    <row r="20" spans="1:5">
      <c r="A20" t="n">
        <v>1</v>
      </c>
      <c r="B20" t="n">
        <v>0.324920000000000009</v>
      </c>
      <c r="C20" t="n">
        <v>1.37638199999999999</v>
      </c>
      <c r="D20">
        <f>ATAN2(B20,A20)/PI()*180</f>
        <v>71.9999842574176228</v>
      </c>
      <c r="E20">
        <f>ASIN(C20/(SQRT(A20*A20+B20*B20+C20*C20)))/PI()*180</f>
        <v>52.6226309888678969</v>
      </c>
    </row>
    <row r="21" spans="1:5">
      <c r="A21" t="n">
        <v>0.618033999999999928</v>
      </c>
      <c r="B21" t="n">
        <v>-0.850651000000000046</v>
      </c>
      <c r="C21" t="n">
        <v>1.37638199999999999</v>
      </c>
      <c r="D21">
        <f>ATAN2(B21,A21)/PI()*180</f>
        <v>144.000005642396104</v>
      </c>
      <c r="E21">
        <f>ASIN(C21/(SQRT(A21*A21+B21*B21+C21*C21)))/PI()*180</f>
        <v>52.6226292068783437</v>
      </c>
    </row>
  </sheetData>
  <printOptions>
    <extLst>
      <ext uri="smNativeData">
        <pm:pageFlags xmlns:pm="smNativeData" id="175476603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54766034" l="56" r="56" t="56" b="56" borderId="0" fillId="0" vertical="0"/>
        <pm:footer xmlns:pm="smNativeData" id="1754766034" l="56" r="56" t="56" b="56" borderId="0" fillId="0" vertical="2"/>
      </ext>
    </extLst>
  </headerFooter>
  <extLst>
    <ext uri="smNativeData">
      <pm:sheetPrefs xmlns:pm="smNativeData" day="175476603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hannes</cp:lastModifiedBy>
  <cp:revision>0</cp:revision>
  <dcterms:created xsi:type="dcterms:W3CDTF">2025-08-09T18:14:03Z</dcterms:created>
  <dcterms:modified xsi:type="dcterms:W3CDTF">2025-08-09T19:00:34Z</dcterms:modified>
</cp:coreProperties>
</file>